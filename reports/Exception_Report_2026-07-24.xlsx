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wth\.gemini\antigravity\scratch\Valuation-Control-Automated-Reporting-Platform\reports\"/>
    </mc:Choice>
  </mc:AlternateContent>
  <xr:revisionPtr revIDLastSave="0" documentId="8_{F8119001-35A7-4D2F-B80E-2FD01F4AC3CB}" xr6:coauthVersionLast="47" xr6:coauthVersionMax="47" xr10:uidLastSave="{00000000-0000-0000-0000-000000000000}"/>
  <bookViews>
    <workbookView xWindow="-120" yWindow="-120" windowWidth="24240" windowHeight="13020" xr2:uid="{117D7B36-D143-44E4-9C0A-F64DE8D61607}"/>
  </bookViews>
  <sheets>
    <sheet name="Exception_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A5" i="1"/>
</calcChain>
</file>

<file path=xl/sharedStrings.xml><?xml version="1.0" encoding="utf-8"?>
<sst xmlns="http://schemas.openxmlformats.org/spreadsheetml/2006/main" count="46" uniqueCount="31">
  <si>
    <t>VALUATION CONTROL &amp; INDEPENDENT PRICE VERIFICATION (IPV) EXCEPTION REPORT</t>
  </si>
  <si>
    <t>Valuation Date: 2026-07-24 | Report Generated: 2026-09-29 12:39:38 | Governance: UBS Group Finance / Product Control</t>
  </si>
  <si>
    <t>TOTAL EXCEPTIONS</t>
  </si>
  <si>
    <t>MAJOR SEVERITY (&gt;5%)</t>
  </si>
  <si>
    <t>MINOR SEVERITY (3-5%)</t>
  </si>
  <si>
    <t>ASSET CLASS SCOPE</t>
  </si>
  <si>
    <t>Equity Cash</t>
  </si>
  <si>
    <t>Break ID</t>
  </si>
  <si>
    <t>Ticker</t>
  </si>
  <si>
    <t>Asset Class</t>
  </si>
  <si>
    <t>Sector</t>
  </si>
  <si>
    <t>Valuation Date</t>
  </si>
  <si>
    <t>Market Price ($)</t>
  </si>
  <si>
    <t>Trader Mark ($)</t>
  </si>
  <si>
    <t>Variance (%)</t>
  </si>
  <si>
    <t>Severity</t>
  </si>
  <si>
    <t>Trader ID</t>
  </si>
  <si>
    <t>Status</t>
  </si>
  <si>
    <t>BAC</t>
  </si>
  <si>
    <t>Equity</t>
  </si>
  <si>
    <t>Financials</t>
  </si>
  <si>
    <t>2026-07-24</t>
  </si>
  <si>
    <t>Major</t>
  </si>
  <si>
    <t>TDR_NY_FIN01</t>
  </si>
  <si>
    <t>Open</t>
  </si>
  <si>
    <t>MS</t>
  </si>
  <si>
    <t>JPM</t>
  </si>
  <si>
    <t>MSFT</t>
  </si>
  <si>
    <t>Technology</t>
  </si>
  <si>
    <t>Minor</t>
  </si>
  <si>
    <t>TDR_NY_TECH01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</si>
</sst>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.00"/>
    <numFmt numFmtId="165" formatCode="\+0.00%;\-0.00%;0.00%"/>
  </numFmts>
  <fonts count="9" x14ac:knownFonts="1">
    <font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i/>
      <sz val="10"/>
      <color rgb="FF475569"/>
      <name val="Calibri"/>
      <family val="2"/>
    </font>
    <font>
      <b/>
      <sz val="9"/>
      <color rgb="FF64748B"/>
      <name val="Calibri"/>
      <family val="2"/>
    </font>
    <font>
      <b/>
      <sz val="16"/>
      <color rgb="FF1E293B"/>
      <name val="Calibri"/>
      <family val="2"/>
    </font>
    <font>
      <b/>
      <sz val="16"/>
      <color rgb="FFB91C1C"/>
      <name val="Calibri"/>
      <family val="2"/>
    </font>
    <font>
      <b/>
      <sz val="16"/>
      <color rgb="FFB45309"/>
      <name val="Calibri"/>
      <family val="2"/>
    </font>
    <font>
      <b/>
      <sz val="16"/>
      <color rgb="FF1E3A8A"/>
      <name val="Calibri"/>
      <family val="2"/>
    </font>
    <font>
      <b/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334155"/>
        <bgColor indexed="64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64" fontId="0" fillId="0" borderId="2" xfId="0" applyNumberFormat="1" applyBorder="1"/>
    <xf numFmtId="165" fontId="0" fillId="0" borderId="2" xfId="0" applyNumberFormat="1" applyBorder="1"/>
  </cellXfs>
  <cellStyles count="1">
    <cellStyle name="Normal" xfId="0" builtinId="0"/>
  </cellStyles>
  <dxfs count="2">
    <dxf>
      <font>
        <b/>
        <i val="0"/>
        <color rgb="FF92400E"/>
      </font>
      <fill>
        <patternFill>
          <bgColor rgb="FFFEF3C7"/>
        </patternFill>
      </fill>
    </dxf>
    <dxf>
      <font>
        <b/>
        <i val="0"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DBBC-9ED0-4D53-A8E2-6CAC1C5C0F8F}">
  <sheetPr>
    <tabColor rgb="FF1E3A8A"/>
  </sheetPr>
  <dimension ref="A1:K13"/>
  <sheetViews>
    <sheetView tabSelected="1" workbookViewId="0"/>
  </sheetViews>
  <sheetFormatPr defaultRowHeight="15" x14ac:dyDescent="0.25"/>
  <cols>
    <col min="1" max="9" width="14.7109375" customWidth="1"/>
    <col min="10" max="10" width="15.140625" bestFit="1" customWidth="1"/>
    <col min="11" max="11" width="14.7109375" customWidth="1"/>
  </cols>
  <sheetData>
    <row r="1" spans="1:11" ht="35.1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0.100000000000001" customHeight="1" x14ac:dyDescent="0.2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x14ac:dyDescent="0.25">
      <c r="A4" s="5" t="s">
        <v>2</v>
      </c>
      <c r="B4" s="5"/>
      <c r="D4" s="5" t="s">
        <v>3</v>
      </c>
      <c r="E4" s="5"/>
      <c r="G4" s="5" t="s">
        <v>4</v>
      </c>
      <c r="H4" s="5"/>
      <c r="J4" s="5" t="s">
        <v>5</v>
      </c>
      <c r="K4" s="5"/>
    </row>
    <row r="5" spans="1:11" ht="27.95" customHeight="1" x14ac:dyDescent="0.25">
      <c r="A5" s="6">
        <f>COUNTA(A10:A100)</f>
        <v>4</v>
      </c>
      <c r="B5" s="6"/>
      <c r="D5" s="7">
        <f>COUNTIF(I10:I100, "Major")</f>
        <v>3</v>
      </c>
      <c r="E5" s="7"/>
      <c r="G5" s="8">
        <f>COUNTIF(I10:I100, "Minor")</f>
        <v>1</v>
      </c>
      <c r="H5" s="8"/>
      <c r="J5" s="9" t="s">
        <v>6</v>
      </c>
      <c r="K5" s="9"/>
    </row>
    <row r="9" spans="1:11" ht="24" customHeight="1" x14ac:dyDescent="0.25">
      <c r="A9" s="10" t="s">
        <v>7</v>
      </c>
      <c r="B9" s="10" t="s">
        <v>8</v>
      </c>
      <c r="C9" s="10" t="s">
        <v>9</v>
      </c>
      <c r="D9" s="10" t="s">
        <v>10</v>
      </c>
      <c r="E9" s="10" t="s">
        <v>11</v>
      </c>
      <c r="F9" s="10" t="s">
        <v>12</v>
      </c>
      <c r="G9" s="10" t="s">
        <v>13</v>
      </c>
      <c r="H9" s="10" t="s">
        <v>14</v>
      </c>
      <c r="I9" s="10" t="s">
        <v>15</v>
      </c>
      <c r="J9" s="10" t="s">
        <v>16</v>
      </c>
      <c r="K9" s="10" t="s">
        <v>17</v>
      </c>
    </row>
    <row r="10" spans="1:11" x14ac:dyDescent="0.25">
      <c r="A10" s="11">
        <v>165</v>
      </c>
      <c r="B10" s="11" t="s">
        <v>18</v>
      </c>
      <c r="C10" s="11" t="s">
        <v>19</v>
      </c>
      <c r="D10" s="12" t="s">
        <v>20</v>
      </c>
      <c r="E10" s="11" t="s">
        <v>21</v>
      </c>
      <c r="F10" s="13">
        <v>62.05</v>
      </c>
      <c r="G10" s="13">
        <v>66.180000000000007</v>
      </c>
      <c r="H10" s="14">
        <v>6.66</v>
      </c>
      <c r="I10" s="11" t="s">
        <v>22</v>
      </c>
      <c r="J10" s="11" t="s">
        <v>23</v>
      </c>
      <c r="K10" s="11" t="s">
        <v>24</v>
      </c>
    </row>
    <row r="11" spans="1:11" x14ac:dyDescent="0.25">
      <c r="A11" s="11">
        <v>167</v>
      </c>
      <c r="B11" s="11" t="s">
        <v>25</v>
      </c>
      <c r="C11" s="11" t="s">
        <v>19</v>
      </c>
      <c r="D11" s="12" t="s">
        <v>20</v>
      </c>
      <c r="E11" s="11" t="s">
        <v>21</v>
      </c>
      <c r="F11" s="13">
        <v>214.48</v>
      </c>
      <c r="G11" s="13">
        <v>226.43</v>
      </c>
      <c r="H11" s="14">
        <v>5.57</v>
      </c>
      <c r="I11" s="11" t="s">
        <v>22</v>
      </c>
      <c r="J11" s="11" t="s">
        <v>23</v>
      </c>
      <c r="K11" s="11" t="s">
        <v>24</v>
      </c>
    </row>
    <row r="12" spans="1:11" x14ac:dyDescent="0.25">
      <c r="A12" s="11">
        <v>166</v>
      </c>
      <c r="B12" s="11" t="s">
        <v>26</v>
      </c>
      <c r="C12" s="11" t="s">
        <v>19</v>
      </c>
      <c r="D12" s="12" t="s">
        <v>20</v>
      </c>
      <c r="E12" s="11" t="s">
        <v>21</v>
      </c>
      <c r="F12" s="13">
        <v>353.21</v>
      </c>
      <c r="G12" s="13">
        <v>372.85</v>
      </c>
      <c r="H12" s="14">
        <v>5.56</v>
      </c>
      <c r="I12" s="11" t="s">
        <v>22</v>
      </c>
      <c r="J12" s="11" t="s">
        <v>23</v>
      </c>
      <c r="K12" s="11" t="s">
        <v>24</v>
      </c>
    </row>
    <row r="13" spans="1:11" x14ac:dyDescent="0.25">
      <c r="A13" s="11">
        <v>168</v>
      </c>
      <c r="B13" s="11" t="s">
        <v>27</v>
      </c>
      <c r="C13" s="11" t="s">
        <v>19</v>
      </c>
      <c r="D13" s="12" t="s">
        <v>28</v>
      </c>
      <c r="E13" s="11" t="s">
        <v>21</v>
      </c>
      <c r="F13" s="13">
        <v>381.7</v>
      </c>
      <c r="G13" s="13">
        <v>366.26</v>
      </c>
      <c r="H13" s="14">
        <v>-4.05</v>
      </c>
      <c r="I13" s="11" t="s">
        <v>29</v>
      </c>
      <c r="J13" s="11" t="s">
        <v>30</v>
      </c>
      <c r="K13" s="11" t="s">
        <v>24</v>
      </c>
    </row>
  </sheetData>
  <mergeCells count="10">
    <mergeCell ref="A1:K1"/>
    <mergeCell ref="A2:K2"/>
    <mergeCell ref="A4:B4"/>
    <mergeCell ref="A5:B5"/>
    <mergeCell ref="D4:E4"/>
    <mergeCell ref="D5:E5"/>
    <mergeCell ref="G4:H4"/>
    <mergeCell ref="G5:H5"/>
    <mergeCell ref="J4:K4"/>
    <mergeCell ref="J5:K5"/>
  </mergeCells>
  <conditionalFormatting sqref="I10:I13">
    <cfRule type="cellIs" dxfId="1" priority="1" stopIfTrue="1" operator="equal">
      <formula>"Major"</formula>
    </cfRule>
    <cfRule type="cellIs" dxfId="0" priority="2" stopIfTrue="1" operator="equal">
      <formula>"Minor"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B</dc:creator>
  <cp:lastModifiedBy>Gowtham B</cp:lastModifiedBy>
  <dcterms:created xsi:type="dcterms:W3CDTF">2026-09-29T07:09:37Z</dcterms:created>
  <dcterms:modified xsi:type="dcterms:W3CDTF">2026-09-29T07:09:38Z</dcterms:modified>
</cp:coreProperties>
</file>